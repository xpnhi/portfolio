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d75a99a36b032/Documents/CSCC/ENGT-1101/Week-10/"/>
    </mc:Choice>
  </mc:AlternateContent>
  <xr:revisionPtr revIDLastSave="113" documentId="13_ncr:1_{B0868FC4-D99B-4D71-AB08-E7F6FA61C87D}" xr6:coauthVersionLast="47" xr6:coauthVersionMax="47" xr10:uidLastSave="{B5277F17-A4FD-4BA3-BF81-92B39C81E6F5}"/>
  <bookViews>
    <workbookView xWindow="-110" yWindow="-110" windowWidth="19420" windowHeight="10300" xr2:uid="{33852DA5-60B9-4CD9-9D5C-F98B5D7FEF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9" i="1"/>
  <c r="G7" i="1"/>
  <c r="H7" i="1" s="1"/>
  <c r="G8" i="1"/>
  <c r="H8" i="1" s="1"/>
  <c r="H9" i="1"/>
  <c r="G10" i="1"/>
  <c r="H10" i="1" s="1"/>
  <c r="G13" i="1"/>
  <c r="H13" i="1" s="1"/>
  <c r="G14" i="1"/>
  <c r="H14" i="1" s="1"/>
  <c r="G15" i="1"/>
  <c r="H15" i="1" s="1"/>
  <c r="G11" i="1"/>
  <c r="H11" i="1" s="1"/>
  <c r="G12" i="1"/>
  <c r="B18" i="1" l="1"/>
  <c r="H12" i="1"/>
  <c r="B19" i="1" l="1"/>
  <c r="B23" i="1" l="1"/>
  <c r="B29" i="1"/>
  <c r="B30" i="1"/>
  <c r="B24" i="1"/>
</calcChain>
</file>

<file path=xl/sharedStrings.xml><?xml version="1.0" encoding="utf-8"?>
<sst xmlns="http://schemas.openxmlformats.org/spreadsheetml/2006/main" count="29" uniqueCount="25">
  <si>
    <t xml:space="preserve">Directions: Use the data collected from the Variation Activity.  Enter your data for each bag you measured in the 1:00 row.  Have your classmates give you their data and add each weight in the 2:00 row, 3:00 row, and so on. </t>
  </si>
  <si>
    <t>Part Number</t>
  </si>
  <si>
    <t>Part Name</t>
  </si>
  <si>
    <t>Operator</t>
  </si>
  <si>
    <t>Machine</t>
  </si>
  <si>
    <t>Operation</t>
  </si>
  <si>
    <t>Inspection Method</t>
  </si>
  <si>
    <t>Date</t>
  </si>
  <si>
    <t>Sample in GRAMS</t>
  </si>
  <si>
    <t>X Bar Chart</t>
  </si>
  <si>
    <t>R Bar Chart</t>
  </si>
  <si>
    <t>Time</t>
  </si>
  <si>
    <t>X Bar</t>
  </si>
  <si>
    <t>R</t>
  </si>
  <si>
    <t>UCL Xbar</t>
  </si>
  <si>
    <t>LCL Xbar</t>
  </si>
  <si>
    <t>X2Bar</t>
  </si>
  <si>
    <t>UCL Rbar</t>
  </si>
  <si>
    <t>LCL Rbar</t>
  </si>
  <si>
    <t>Rbar</t>
  </si>
  <si>
    <t>A2</t>
  </si>
  <si>
    <t>D4</t>
  </si>
  <si>
    <t>D3</t>
  </si>
  <si>
    <t>UCL R</t>
  </si>
  <si>
    <t xml:space="preserve">LCL 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</si>
</sst>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2" borderId="0" xfId="0" applyFill="1"/>
    <xf numFmtId="2" fontId="0" fillId="2" borderId="0" xfId="0" applyNumberFormat="1" applyFill="1"/>
    <xf numFmtId="1" fontId="1" fillId="0" borderId="3" xfId="0" applyNumberFormat="1" applyFont="1" applyBorder="1" applyAlignment="1">
      <alignment vertical="center" wrapText="1"/>
    </xf>
    <xf numFmtId="1" fontId="1" fillId="2" borderId="4" xfId="0" applyNumberFormat="1" applyFont="1" applyFill="1" applyBorder="1" applyAlignment="1">
      <alignment vertical="center" wrapText="1"/>
    </xf>
    <xf numFmtId="1" fontId="1" fillId="2" borderId="0" xfId="0" applyNumberFormat="1" applyFont="1" applyFill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0" borderId="0" xfId="0" applyFont="1"/>
    <xf numFmtId="1" fontId="1" fillId="2" borderId="5" xfId="0" applyNumberFormat="1" applyFont="1" applyFill="1" applyBorder="1" applyAlignment="1">
      <alignment vertical="center" wrapText="1"/>
    </xf>
    <xf numFmtId="1" fontId="1" fillId="0" borderId="4" xfId="0" applyNumberFormat="1" applyFont="1" applyBorder="1" applyAlignment="1">
      <alignment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X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Sheet1!$G$6:$G$15</c:f>
              <c:numCache>
                <c:formatCode>0</c:formatCode>
                <c:ptCount val="10"/>
                <c:pt idx="0">
                  <c:v>55</c:v>
                </c:pt>
                <c:pt idx="1">
                  <c:v>46.4</c:v>
                </c:pt>
                <c:pt idx="2">
                  <c:v>46.6</c:v>
                </c:pt>
                <c:pt idx="3">
                  <c:v>43.620000000000005</c:v>
                </c:pt>
                <c:pt idx="4">
                  <c:v>46</c:v>
                </c:pt>
                <c:pt idx="5">
                  <c:v>42.8</c:v>
                </c:pt>
                <c:pt idx="6">
                  <c:v>48.2</c:v>
                </c:pt>
                <c:pt idx="7">
                  <c:v>47.4</c:v>
                </c:pt>
                <c:pt idx="8">
                  <c:v>46.6</c:v>
                </c:pt>
                <c:pt idx="9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6-4993-A466-20D28A6DC888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UCL Xbar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Sheet1!$L$6:$L$15</c:f>
              <c:numCache>
                <c:formatCode>General</c:formatCode>
                <c:ptCount val="10"/>
                <c:pt idx="0">
                  <c:v>52.034199999999998</c:v>
                </c:pt>
                <c:pt idx="1">
                  <c:v>52.034199999999998</c:v>
                </c:pt>
                <c:pt idx="2">
                  <c:v>52.034199999999998</c:v>
                </c:pt>
                <c:pt idx="3">
                  <c:v>52.034199999999998</c:v>
                </c:pt>
                <c:pt idx="4">
                  <c:v>52.034199999999998</c:v>
                </c:pt>
                <c:pt idx="5">
                  <c:v>52.034199999999998</c:v>
                </c:pt>
                <c:pt idx="6">
                  <c:v>52.034199999999998</c:v>
                </c:pt>
                <c:pt idx="7">
                  <c:v>52.034199999999998</c:v>
                </c:pt>
                <c:pt idx="8">
                  <c:v>52.034199999999998</c:v>
                </c:pt>
                <c:pt idx="9">
                  <c:v>52.034199999999998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6-4993-A466-20D28A6DC888}"/>
            </c:ext>
          </c:extLst>
        </c:ser>
        <c:ser>
          <c:idx val="2"/>
          <c:order val="2"/>
          <c:tx>
            <c:strRef>
              <c:f>Sheet1!$M$5</c:f>
              <c:strCache>
                <c:ptCount val="1"/>
                <c:pt idx="0">
                  <c:v>LCL Xbar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Sheet1!$M$6:$M$15</c:f>
              <c:numCache>
                <c:formatCode>General</c:formatCode>
                <c:ptCount val="10"/>
                <c:pt idx="0">
                  <c:v>46.725800000000007</c:v>
                </c:pt>
                <c:pt idx="1">
                  <c:v>46.725800000000007</c:v>
                </c:pt>
                <c:pt idx="2">
                  <c:v>46.725800000000007</c:v>
                </c:pt>
                <c:pt idx="3">
                  <c:v>46.725800000000007</c:v>
                </c:pt>
                <c:pt idx="4">
                  <c:v>46.725800000000007</c:v>
                </c:pt>
                <c:pt idx="5">
                  <c:v>46.725800000000007</c:v>
                </c:pt>
                <c:pt idx="6">
                  <c:v>46.725800000000007</c:v>
                </c:pt>
                <c:pt idx="7">
                  <c:v>46.725800000000007</c:v>
                </c:pt>
                <c:pt idx="8">
                  <c:v>46.725800000000007</c:v>
                </c:pt>
                <c:pt idx="9">
                  <c:v>46.725800000000007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6-4993-A466-20D28A6DC888}"/>
            </c:ext>
          </c:extLst>
        </c:ser>
        <c:ser>
          <c:idx val="3"/>
          <c:order val="3"/>
          <c:tx>
            <c:strRef>
              <c:f>Sheet1!$N$5</c:f>
              <c:strCache>
                <c:ptCount val="1"/>
                <c:pt idx="0">
                  <c:v>X2Bar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Sheet1!$N$6:$N$15</c:f>
              <c:numCache>
                <c:formatCode>General</c:formatCode>
                <c:ptCount val="10"/>
                <c:pt idx="0">
                  <c:v>49.38</c:v>
                </c:pt>
                <c:pt idx="1">
                  <c:v>49.38</c:v>
                </c:pt>
                <c:pt idx="2">
                  <c:v>49.38</c:v>
                </c:pt>
                <c:pt idx="3">
                  <c:v>49.38</c:v>
                </c:pt>
                <c:pt idx="4">
                  <c:v>49.38</c:v>
                </c:pt>
                <c:pt idx="5">
                  <c:v>49.38</c:v>
                </c:pt>
                <c:pt idx="6">
                  <c:v>49.38</c:v>
                </c:pt>
                <c:pt idx="7">
                  <c:v>49.38</c:v>
                </c:pt>
                <c:pt idx="8">
                  <c:v>49.38</c:v>
                </c:pt>
                <c:pt idx="9">
                  <c:v>49.38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6-4993-A466-20D28A6DC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755696"/>
        <c:axId val="905757776"/>
      </c:lineChart>
      <c:catAx>
        <c:axId val="90575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57776"/>
        <c:crosses val="autoZero"/>
        <c:auto val="1"/>
        <c:lblAlgn val="ctr"/>
        <c:lblOffset val="100"/>
        <c:noMultiLvlLbl val="0"/>
      </c:catAx>
      <c:valAx>
        <c:axId val="9057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Sheet1!$H$6:$H$15</c:f>
              <c:numCache>
                <c:formatCode>0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2.8999999999999986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10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9-45A0-B897-49FC015ADD2B}"/>
            </c:ext>
          </c:extLst>
        </c:ser>
        <c:ser>
          <c:idx val="1"/>
          <c:order val="1"/>
          <c:tx>
            <c:strRef>
              <c:f>Sheet1!$P$5</c:f>
              <c:strCache>
                <c:ptCount val="1"/>
                <c:pt idx="0">
                  <c:v>UCL Rbar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Sheet1!$P$6:$P$15</c:f>
              <c:numCache>
                <c:formatCode>General</c:formatCode>
                <c:ptCount val="10"/>
                <c:pt idx="0">
                  <c:v>9.7243999999999993</c:v>
                </c:pt>
                <c:pt idx="1">
                  <c:v>9.7243999999999993</c:v>
                </c:pt>
                <c:pt idx="2">
                  <c:v>9.7243999999999993</c:v>
                </c:pt>
                <c:pt idx="3">
                  <c:v>9.7243999999999993</c:v>
                </c:pt>
                <c:pt idx="4">
                  <c:v>9.7243999999999993</c:v>
                </c:pt>
                <c:pt idx="5">
                  <c:v>9.7243999999999993</c:v>
                </c:pt>
                <c:pt idx="6">
                  <c:v>9.7243999999999993</c:v>
                </c:pt>
                <c:pt idx="7">
                  <c:v>9.7243999999999993</c:v>
                </c:pt>
                <c:pt idx="8">
                  <c:v>9.7243999999999993</c:v>
                </c:pt>
                <c:pt idx="9">
                  <c:v>9.7243999999999993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9-45A0-B897-49FC015ADD2B}"/>
            </c:ext>
          </c:extLst>
        </c:ser>
        <c:ser>
          <c:idx val="2"/>
          <c:order val="2"/>
          <c:tx>
            <c:strRef>
              <c:f>Sheet1!$Q$5</c:f>
              <c:strCache>
                <c:ptCount val="1"/>
                <c:pt idx="0">
                  <c:v>LCL Rbar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Sheet1!$Q$6:$Q$15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09-45A0-B897-49FC015ADD2B}"/>
            </c:ext>
          </c:extLst>
        </c:ser>
        <c:ser>
          <c:idx val="3"/>
          <c:order val="3"/>
          <c:tx>
            <c:strRef>
              <c:f>Sheet1!$R$5</c:f>
              <c:strCache>
                <c:ptCount val="1"/>
                <c:pt idx="0">
                  <c:v>Rbar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Sheet1!$R$6:$R$15</c:f>
              <c:numCache>
                <c:formatCode>General</c:formatCode>
                <c:ptCount val="10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09-45A0-B897-49FC015A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887392"/>
        <c:axId val="1011887808"/>
      </c:lineChart>
      <c:catAx>
        <c:axId val="101188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87808"/>
        <c:crosses val="autoZero"/>
        <c:auto val="1"/>
        <c:lblAlgn val="ctr"/>
        <c:lblOffset val="100"/>
        <c:noMultiLvlLbl val="0"/>
      </c:catAx>
      <c:valAx>
        <c:axId val="10118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283633</xdr:colOff>
      <xdr:row>16</xdr:row>
      <xdr:rowOff>86784</xdr:rowOff>
    </xdr:from>
    <xdr:to>
      <xdr:col>12</xdr:col>
      <xdr:colOff>351366</xdr:colOff>
      <xdr:row>31</xdr:row>
      <xdr:rowOff>99484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0B92BC-C695-2FCA-83DD-B064CB0F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641349</xdr:colOff>
      <xdr:row>16</xdr:row>
      <xdr:rowOff>91016</xdr:rowOff>
    </xdr:from>
    <xdr:to>
      <xdr:col>20</xdr:col>
      <xdr:colOff>65616</xdr:colOff>
      <xdr:row>31</xdr:row>
      <xdr:rowOff>103716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17B1BD-6465-7D07-9BB5-A583ECC1D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948C-31EB-4F3E-B251-896C4545AAA9}">
  <dimension ref="A1:R30"/>
  <sheetViews>
    <sheetView tabSelected="1" workbookViewId="0">
      <selection activeCell="H6" sqref="H6"/>
    </sheetView>
  </sheetViews>
  <sheetFormatPr defaultRowHeight="14.45"/>
  <cols>
    <col min="1" max="1" width="14.5703125" customWidth="1"/>
    <col min="2" max="2" width="11.28515625" customWidth="1"/>
    <col min="12" max="12" width="9" customWidth="1"/>
  </cols>
  <sheetData>
    <row r="1" spans="1:18" ht="42.4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8" ht="15.6">
      <c r="A2" s="17" t="s">
        <v>1</v>
      </c>
      <c r="B2" s="17"/>
      <c r="C2" s="17"/>
      <c r="D2" s="17" t="s">
        <v>2</v>
      </c>
      <c r="E2" s="17"/>
      <c r="F2" s="17"/>
      <c r="G2" s="17"/>
      <c r="H2" s="17"/>
      <c r="I2" s="17"/>
      <c r="J2" s="17"/>
      <c r="K2" s="17"/>
    </row>
    <row r="3" spans="1:18" ht="15.6">
      <c r="A3" s="17" t="s">
        <v>3</v>
      </c>
      <c r="B3" s="17"/>
      <c r="C3" s="17" t="s">
        <v>4</v>
      </c>
      <c r="D3" s="17"/>
      <c r="E3" s="17" t="s">
        <v>5</v>
      </c>
      <c r="F3" s="17"/>
      <c r="G3" s="17" t="s">
        <v>6</v>
      </c>
      <c r="H3" s="17"/>
      <c r="I3" s="17"/>
      <c r="J3" s="17"/>
      <c r="K3" s="17"/>
    </row>
    <row r="4" spans="1:18" ht="15.6">
      <c r="A4" s="1" t="s">
        <v>7</v>
      </c>
      <c r="B4" s="15" t="s">
        <v>8</v>
      </c>
      <c r="C4" s="15"/>
      <c r="D4" s="15"/>
      <c r="E4" s="15"/>
      <c r="F4" s="15"/>
      <c r="G4" s="15"/>
      <c r="H4" s="15"/>
      <c r="I4" s="16"/>
      <c r="J4" s="16"/>
      <c r="K4" s="16"/>
      <c r="L4" s="2" t="s">
        <v>9</v>
      </c>
      <c r="P4" s="2" t="s">
        <v>10</v>
      </c>
    </row>
    <row r="5" spans="1:18" ht="15.6">
      <c r="A5" s="14" t="s">
        <v>11</v>
      </c>
      <c r="B5" s="10">
        <v>1</v>
      </c>
      <c r="C5" s="4">
        <v>2</v>
      </c>
      <c r="D5" s="4">
        <v>3</v>
      </c>
      <c r="E5" s="4">
        <v>4</v>
      </c>
      <c r="F5" s="4">
        <v>5</v>
      </c>
      <c r="G5" s="5" t="s">
        <v>12</v>
      </c>
      <c r="H5" s="9" t="s">
        <v>13</v>
      </c>
      <c r="I5" s="7"/>
      <c r="J5" s="7"/>
      <c r="K5" s="7"/>
      <c r="L5" s="2" t="s">
        <v>14</v>
      </c>
      <c r="M5" s="2" t="s">
        <v>15</v>
      </c>
      <c r="N5" s="2" t="s">
        <v>16</v>
      </c>
      <c r="P5" s="2" t="s">
        <v>17</v>
      </c>
      <c r="Q5" s="2" t="s">
        <v>18</v>
      </c>
      <c r="R5" s="2" t="s">
        <v>19</v>
      </c>
    </row>
    <row r="6" spans="1:18" ht="15.6">
      <c r="A6" s="11">
        <v>4.1666666666666664E-2</v>
      </c>
      <c r="B6" s="12">
        <v>42</v>
      </c>
      <c r="C6" s="12">
        <v>51</v>
      </c>
      <c r="D6" s="12">
        <v>44</v>
      </c>
      <c r="E6" s="12">
        <v>42</v>
      </c>
      <c r="F6" s="12">
        <v>46</v>
      </c>
      <c r="G6" s="6">
        <v>55</v>
      </c>
      <c r="H6" s="6">
        <f>MAX(B6:F6)-MIN(B6:F6)</f>
        <v>9</v>
      </c>
      <c r="I6" s="7"/>
      <c r="J6" s="7"/>
      <c r="K6" s="7"/>
      <c r="L6" s="2">
        <v>52.034199999999998</v>
      </c>
      <c r="M6" s="2">
        <v>46.725800000000007</v>
      </c>
      <c r="N6" s="2">
        <v>49.38</v>
      </c>
      <c r="P6" s="2">
        <v>9.7243999999999993</v>
      </c>
      <c r="Q6" s="2">
        <v>0</v>
      </c>
      <c r="R6" s="2">
        <v>4.5999999999999996</v>
      </c>
    </row>
    <row r="7" spans="1:18" ht="15.6">
      <c r="A7" s="11">
        <v>8.3333333333333329E-2</v>
      </c>
      <c r="B7" s="12">
        <v>49</v>
      </c>
      <c r="C7" s="12">
        <v>51</v>
      </c>
      <c r="D7" s="12">
        <v>44</v>
      </c>
      <c r="E7" s="12">
        <v>42</v>
      </c>
      <c r="F7" s="12">
        <v>46</v>
      </c>
      <c r="G7" s="6">
        <f>AVERAGE(B7:F7)</f>
        <v>46.4</v>
      </c>
      <c r="H7" s="6">
        <f>MAX(B7:G7)-MIN(B7:G7)</f>
        <v>9</v>
      </c>
      <c r="I7" s="7"/>
      <c r="J7" s="7"/>
      <c r="K7" s="7"/>
      <c r="L7" s="2">
        <v>52.034199999999998</v>
      </c>
      <c r="M7" s="2">
        <v>46.725800000000007</v>
      </c>
      <c r="N7" s="2">
        <v>49.38</v>
      </c>
      <c r="P7" s="2">
        <v>9.7243999999999993</v>
      </c>
      <c r="Q7" s="2">
        <v>0</v>
      </c>
      <c r="R7" s="2">
        <v>4.5999999999999996</v>
      </c>
    </row>
    <row r="8" spans="1:18" ht="15.6">
      <c r="A8" s="11">
        <v>0.125</v>
      </c>
      <c r="B8" s="12">
        <v>43</v>
      </c>
      <c r="C8" s="12">
        <v>47</v>
      </c>
      <c r="D8" s="12">
        <v>47</v>
      </c>
      <c r="E8" s="12">
        <v>47</v>
      </c>
      <c r="F8" s="12">
        <v>49</v>
      </c>
      <c r="G8" s="6">
        <f t="shared" ref="G8:G10" si="0">AVERAGE(B8:F8)</f>
        <v>46.6</v>
      </c>
      <c r="H8" s="6">
        <f t="shared" ref="H8:H15" si="1">MAX(B8:G8)-MIN(B8:G8)</f>
        <v>6</v>
      </c>
      <c r="I8" s="7"/>
      <c r="J8" s="7"/>
      <c r="K8" s="7"/>
      <c r="L8" s="2">
        <v>52.034199999999998</v>
      </c>
      <c r="M8" s="2">
        <v>46.725800000000007</v>
      </c>
      <c r="N8" s="2">
        <v>49.38</v>
      </c>
      <c r="P8" s="2">
        <v>9.7243999999999993</v>
      </c>
      <c r="Q8" s="2">
        <v>0</v>
      </c>
      <c r="R8" s="2">
        <v>4.5999999999999996</v>
      </c>
    </row>
    <row r="9" spans="1:18" ht="15.6">
      <c r="A9" s="11">
        <v>0.16666666666666666</v>
      </c>
      <c r="B9" s="12">
        <v>42.5</v>
      </c>
      <c r="C9" s="12">
        <v>42.5</v>
      </c>
      <c r="D9" s="12">
        <v>42.5</v>
      </c>
      <c r="E9" s="12">
        <v>45.4</v>
      </c>
      <c r="F9" s="12">
        <v>45.2</v>
      </c>
      <c r="G9" s="6">
        <f t="shared" si="0"/>
        <v>43.620000000000005</v>
      </c>
      <c r="H9" s="6">
        <f t="shared" si="1"/>
        <v>2.8999999999999986</v>
      </c>
      <c r="I9" s="7"/>
      <c r="J9" s="7"/>
      <c r="K9" s="7"/>
      <c r="L9" s="2">
        <v>52.034199999999998</v>
      </c>
      <c r="M9" s="2">
        <v>46.725800000000007</v>
      </c>
      <c r="N9" s="2">
        <v>49.38</v>
      </c>
      <c r="P9" s="2">
        <v>9.7243999999999993</v>
      </c>
      <c r="Q9" s="2">
        <v>0</v>
      </c>
      <c r="R9" s="2">
        <v>4.5999999999999996</v>
      </c>
    </row>
    <row r="10" spans="1:18" ht="15.6">
      <c r="A10" s="11">
        <v>0.20833333333333334</v>
      </c>
      <c r="B10" s="12">
        <v>46</v>
      </c>
      <c r="C10" s="12">
        <v>42</v>
      </c>
      <c r="D10" s="12">
        <v>51</v>
      </c>
      <c r="E10" s="12">
        <v>41</v>
      </c>
      <c r="F10" s="12">
        <v>50</v>
      </c>
      <c r="G10" s="6">
        <f t="shared" si="0"/>
        <v>46</v>
      </c>
      <c r="H10" s="6">
        <f t="shared" si="1"/>
        <v>10</v>
      </c>
      <c r="I10" s="7"/>
      <c r="J10" s="7"/>
      <c r="K10" s="7"/>
      <c r="L10" s="2">
        <v>52.034199999999998</v>
      </c>
      <c r="M10" s="2">
        <v>46.725800000000007</v>
      </c>
      <c r="N10" s="2">
        <v>49.38</v>
      </c>
      <c r="P10" s="2">
        <v>9.7243999999999993</v>
      </c>
      <c r="Q10" s="2">
        <v>0</v>
      </c>
      <c r="R10" s="2">
        <v>4.5999999999999996</v>
      </c>
    </row>
    <row r="11" spans="1:18" ht="15.6">
      <c r="A11" s="11">
        <v>0.25</v>
      </c>
      <c r="B11" s="12">
        <v>44</v>
      </c>
      <c r="C11" s="12">
        <v>40</v>
      </c>
      <c r="D11" s="12">
        <v>42</v>
      </c>
      <c r="E11" s="12">
        <v>42</v>
      </c>
      <c r="F11" s="12">
        <v>46</v>
      </c>
      <c r="G11" s="6">
        <f t="shared" ref="G11:G15" si="2">AVERAGE(B11:F11)</f>
        <v>42.8</v>
      </c>
      <c r="H11" s="6">
        <f t="shared" si="1"/>
        <v>6</v>
      </c>
      <c r="I11" s="7"/>
      <c r="J11" s="7"/>
      <c r="K11" s="7"/>
      <c r="L11" s="2">
        <v>52.034199999999998</v>
      </c>
      <c r="M11" s="2">
        <v>46.725800000000007</v>
      </c>
      <c r="N11" s="2">
        <v>49.38</v>
      </c>
      <c r="P11" s="2">
        <v>9.7243999999999993</v>
      </c>
      <c r="Q11" s="2">
        <v>0</v>
      </c>
      <c r="R11" s="2">
        <v>4.5999999999999996</v>
      </c>
    </row>
    <row r="12" spans="1:18" ht="15.6">
      <c r="A12" s="11">
        <v>0.29166666666666669</v>
      </c>
      <c r="B12" s="12">
        <v>46</v>
      </c>
      <c r="C12" s="12">
        <v>49</v>
      </c>
      <c r="D12" s="12">
        <v>48</v>
      </c>
      <c r="E12" s="12">
        <v>52</v>
      </c>
      <c r="F12" s="12">
        <v>46</v>
      </c>
      <c r="G12" s="6">
        <f t="shared" si="2"/>
        <v>48.2</v>
      </c>
      <c r="H12" s="6">
        <f t="shared" si="1"/>
        <v>6</v>
      </c>
      <c r="I12" s="7"/>
      <c r="J12" s="7"/>
      <c r="K12" s="7"/>
      <c r="L12" s="2">
        <v>52.034199999999998</v>
      </c>
      <c r="M12" s="2">
        <v>46.725800000000007</v>
      </c>
      <c r="N12" s="2">
        <v>49.38</v>
      </c>
      <c r="P12" s="2">
        <v>9.7243999999999993</v>
      </c>
      <c r="Q12" s="2">
        <v>0</v>
      </c>
      <c r="R12" s="2">
        <v>4.5999999999999996</v>
      </c>
    </row>
    <row r="13" spans="1:18" ht="15.6">
      <c r="A13" s="11">
        <v>0.33333333333333331</v>
      </c>
      <c r="B13" s="12">
        <v>42</v>
      </c>
      <c r="C13" s="12">
        <v>49</v>
      </c>
      <c r="D13" s="12">
        <v>48</v>
      </c>
      <c r="E13" s="12">
        <v>52</v>
      </c>
      <c r="F13" s="12">
        <v>46</v>
      </c>
      <c r="G13" s="6">
        <f>AVERAGE(B13:F13)</f>
        <v>47.4</v>
      </c>
      <c r="H13" s="6">
        <f t="shared" si="1"/>
        <v>10</v>
      </c>
      <c r="I13" s="7"/>
      <c r="J13" s="7"/>
      <c r="K13" s="7"/>
      <c r="L13" s="2">
        <v>52.034199999999998</v>
      </c>
      <c r="M13" s="2">
        <v>46.725800000000007</v>
      </c>
      <c r="N13" s="2">
        <v>49.38</v>
      </c>
      <c r="P13" s="2">
        <v>9.7243999999999993</v>
      </c>
      <c r="Q13" s="2">
        <v>0</v>
      </c>
      <c r="R13" s="2">
        <v>4.5999999999999996</v>
      </c>
    </row>
    <row r="14" spans="1:18" ht="15.6">
      <c r="A14" s="11">
        <v>0.375</v>
      </c>
      <c r="B14" s="13">
        <v>41</v>
      </c>
      <c r="C14" s="13">
        <v>46</v>
      </c>
      <c r="D14" s="13">
        <v>48</v>
      </c>
      <c r="E14" s="13">
        <v>51</v>
      </c>
      <c r="F14" s="13">
        <v>47</v>
      </c>
      <c r="G14" s="6">
        <f t="shared" si="2"/>
        <v>46.6</v>
      </c>
      <c r="H14" s="6">
        <f t="shared" si="1"/>
        <v>10</v>
      </c>
      <c r="I14" s="7"/>
      <c r="J14" s="7"/>
      <c r="K14" s="7"/>
      <c r="L14" s="2">
        <v>52.034199999999998</v>
      </c>
      <c r="M14" s="2">
        <v>46.725800000000007</v>
      </c>
      <c r="N14" s="2">
        <v>49.38</v>
      </c>
      <c r="P14" s="2">
        <v>9.7243999999999993</v>
      </c>
      <c r="Q14" s="2">
        <v>0</v>
      </c>
      <c r="R14" s="2">
        <v>4.5999999999999996</v>
      </c>
    </row>
    <row r="15" spans="1:18" ht="15.6">
      <c r="A15" s="11">
        <v>0.41666666666666669</v>
      </c>
      <c r="B15" s="13">
        <v>53</v>
      </c>
      <c r="C15" s="13">
        <v>47</v>
      </c>
      <c r="D15" s="13">
        <v>50</v>
      </c>
      <c r="E15" s="13">
        <v>51</v>
      </c>
      <c r="F15" s="13">
        <v>52</v>
      </c>
      <c r="G15" s="6">
        <f t="shared" si="2"/>
        <v>50.6</v>
      </c>
      <c r="H15" s="6">
        <f t="shared" si="1"/>
        <v>6</v>
      </c>
      <c r="I15" s="7"/>
      <c r="J15" s="7"/>
      <c r="K15" s="7"/>
      <c r="L15" s="2">
        <v>52.034199999999998</v>
      </c>
      <c r="M15" s="2">
        <v>46.725800000000007</v>
      </c>
      <c r="N15" s="2">
        <v>49.38</v>
      </c>
      <c r="P15" s="2">
        <v>9.7243999999999993</v>
      </c>
      <c r="Q15" s="2">
        <v>0</v>
      </c>
      <c r="R15" s="2">
        <v>4.5999999999999996</v>
      </c>
    </row>
    <row r="16" spans="1:18" ht="15.6">
      <c r="A16" s="8"/>
      <c r="G16" s="7"/>
      <c r="H16" s="7"/>
      <c r="I16" s="7"/>
      <c r="J16" s="7"/>
      <c r="K16" s="7"/>
    </row>
    <row r="18" spans="1:2">
      <c r="A18" s="2" t="s">
        <v>16</v>
      </c>
      <c r="B18" s="3">
        <f>AVERAGE(G6:G15)</f>
        <v>47.322000000000003</v>
      </c>
    </row>
    <row r="19" spans="1:2">
      <c r="A19" s="2" t="s">
        <v>19</v>
      </c>
      <c r="B19" s="3">
        <f>AVERAGE(H6:H15)</f>
        <v>7.49</v>
      </c>
    </row>
    <row r="21" spans="1:2">
      <c r="A21" s="2" t="s">
        <v>20</v>
      </c>
      <c r="B21" s="2">
        <v>0.57699999999999996</v>
      </c>
    </row>
    <row r="23" spans="1:2">
      <c r="A23" s="2" t="s">
        <v>14</v>
      </c>
      <c r="B23" s="2">
        <f>B18+(B21*B19)</f>
        <v>51.643730000000005</v>
      </c>
    </row>
    <row r="24" spans="1:2">
      <c r="A24" s="2" t="s">
        <v>15</v>
      </c>
      <c r="B24" s="2">
        <f>B18-(B21*B19)</f>
        <v>43.00027</v>
      </c>
    </row>
    <row r="26" spans="1:2">
      <c r="A26" s="2" t="s">
        <v>21</v>
      </c>
      <c r="B26" s="2">
        <v>2.1139999999999999</v>
      </c>
    </row>
    <row r="27" spans="1:2">
      <c r="A27" s="2" t="s">
        <v>22</v>
      </c>
      <c r="B27" s="2">
        <v>0</v>
      </c>
    </row>
    <row r="29" spans="1:2">
      <c r="A29" s="2" t="s">
        <v>23</v>
      </c>
      <c r="B29" s="2">
        <f>B26*B19</f>
        <v>15.83386</v>
      </c>
    </row>
    <row r="30" spans="1:2">
      <c r="A30" s="2" t="s">
        <v>24</v>
      </c>
      <c r="B30" s="2">
        <f>B27*B19</f>
        <v>0</v>
      </c>
    </row>
  </sheetData>
  <mergeCells count="8">
    <mergeCell ref="B4:K4"/>
    <mergeCell ref="A2:C2"/>
    <mergeCell ref="D2:K2"/>
    <mergeCell ref="G3:K3"/>
    <mergeCell ref="A1:K1"/>
    <mergeCell ref="A3:B3"/>
    <mergeCell ref="C3:D3"/>
    <mergeCell ref="E3:F3"/>
  </mergeCells>
  <pageMargins left="0.7" right="0.7" top="0.75" bottom="0.75" header="0.3" footer="0.3"/>
  <pageSetup orientation="portrait" r:id="rId1"/>
  <ignoredErrors>
    <ignoredError sqref="G8:G15 G7:H7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29944d-e5a2-4231-936f-560ab8dd6894">
      <Terms xmlns="http://schemas.microsoft.com/office/infopath/2007/PartnerControls"/>
    </lcf76f155ced4ddcb4097134ff3c332f>
    <TaxCatchAll xmlns="aa59ab33-23c3-4e04-9048-dea419990d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BB62229B8964C839D75C83754A0CD" ma:contentTypeVersion="13" ma:contentTypeDescription="Create a new document." ma:contentTypeScope="" ma:versionID="216c3b659c8c26bd991bcfd0149219a0">
  <xsd:schema xmlns:xsd="http://www.w3.org/2001/XMLSchema" xmlns:xs="http://www.w3.org/2001/XMLSchema" xmlns:p="http://schemas.microsoft.com/office/2006/metadata/properties" xmlns:ns2="9829944d-e5a2-4231-936f-560ab8dd6894" xmlns:ns3="aa59ab33-23c3-4e04-9048-dea419990d9d" targetNamespace="http://schemas.microsoft.com/office/2006/metadata/properties" ma:root="true" ma:fieldsID="4622c956ff00500e4db65e401630efb7" ns2:_="" ns3:_="">
    <xsd:import namespace="9829944d-e5a2-4231-936f-560ab8dd6894"/>
    <xsd:import namespace="aa59ab33-23c3-4e04-9048-dea419990d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9944d-e5a2-4231-936f-560ab8dd68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5d596bb-10c2-4fb3-902a-5a9186af53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9ab33-23c3-4e04-9048-dea419990d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f5530c-6bbf-4d5c-bdd5-176ebe48d27c}" ma:internalName="TaxCatchAll" ma:showField="CatchAllData" ma:web="aa59ab33-23c3-4e04-9048-dea419990d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F77A6-842B-49C4-958F-2FF668686B64}"/>
</file>

<file path=customXml/itemProps2.xml><?xml version="1.0" encoding="utf-8"?>
<ds:datastoreItem xmlns:ds="http://schemas.openxmlformats.org/officeDocument/2006/customXml" ds:itemID="{7DD4414B-D38D-4105-9192-1BAEA16F488A}"/>
</file>

<file path=customXml/itemProps3.xml><?xml version="1.0" encoding="utf-8"?>
<ds:datastoreItem xmlns:ds="http://schemas.openxmlformats.org/officeDocument/2006/customXml" ds:itemID="{591041A8-F617-4183-918C-199CFED69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Nora Hatem</dc:creator>
  <cp:keywords/>
  <dc:description/>
  <cp:lastModifiedBy>Michael Kang</cp:lastModifiedBy>
  <cp:revision/>
  <dcterms:created xsi:type="dcterms:W3CDTF">2023-02-25T17:49:37Z</dcterms:created>
  <dcterms:modified xsi:type="dcterms:W3CDTF">2026-04-13T20:03:37Z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0x0101009E5BB62229B8964C839D75C83754A0CD</vt:lpwstr>
  </property>
  <property fmtid="{D5CDD505-2E9C-101B-9397-08002B2CF9AE}" pid="3" name="MediaServiceImageTags">
    <vt:lpwstr/>
  </property>
</Properties>
</file>