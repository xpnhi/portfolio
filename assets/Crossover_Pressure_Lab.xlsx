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staffcscc-my.sharepoint.com/personal/bkelley30_cscc_edu/Documents/CSCC/Spring 2025/ENGT 2201 (97687)/"/>
    </mc:Choice>
  </mc:AlternateContent>
  <xr:revisionPtr revIDLastSave="30" documentId="8_{362A9E92-A9E5-4929-810B-1697BA3E23FE}" xr6:coauthVersionLast="47" xr6:coauthVersionMax="47" xr10:uidLastSave="{B8256F96-6E1C-4023-AEA6-8E051E07E4D2}"/>
  <bookViews>
    <workbookView xWindow="0" yWindow="0" windowWidth="28800" windowHeight="13620" xr2:uid="{12925A74-38B1-49E7-8726-443B4293BDA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B15" i="1" l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<sst xmlns="http://schemas.openxmlformats.org/spreadsheetml/2006/main" count="11" uniqueCount="10">
  <si>
    <t>Pressure</t>
  </si>
  <si>
    <t>Time Range</t>
  </si>
  <si>
    <t>Time (s)</t>
  </si>
  <si>
    <t>P (Torr ormTorr)</t>
  </si>
  <si>
    <t>P (torr or mTorr)</t>
  </si>
  <si>
    <t>Foreline Gauge</t>
  </si>
  <si>
    <t>Cold Cathode Gauge Chamber</t>
  </si>
  <si>
    <t>gate valve opened</t>
  </si>
  <si>
    <t>Turbo On</t>
  </si>
  <si>
    <t>Turbo Reached Full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</si>
</sst>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"/>
  </numFmts>
  <fonts count="4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2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Fill="1" applyBorder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1" fillId="4" borderId="1" xfId="0" applyFont="1" applyFill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vertical="center" wrapText="1"/>
    </xf>
    <xf numFmtId="2" fontId="1" fillId="5" borderId="1" xfId="0" applyNumberFormat="1" applyFont="1" applyFill="1" applyBorder="1"/>
    <xf numFmtId="0" fontId="1" fillId="5" borderId="2" xfId="0" applyFont="1" applyFill="1" applyBorder="1"/>
    <xf numFmtId="0" fontId="0" fillId="0" borderId="1" xfId="0" applyBorder="1"/>
    <xf numFmtId="0" fontId="0" fillId="0" borderId="0" xfId="0"/>
    <xf numFmtId="12" fontId="0" fillId="0" borderId="0" xfId="0" applyNumberFormat="1"/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Vacuum System - Crossover Pressure Lab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Sheet1!$E$2</c:f>
              <c:strCache>
                <c:ptCount val="1"/>
                <c:pt idx="0">
                  <c:v>P (torr or mTorr)</c:v>
                </c:pt>
              </c:strCache>
            </c:strRef>
          </c:tx>
          <c:spPr>
            <a:ln w="28575" cap="rnd">
              <a:solidFill>
                <a:srgbClr val="215C98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Sheet1!$E$4:$E$40</c:f>
              <c:numCache>
                <c:formatCode>0.0000</c:formatCode>
                <c:ptCount val="37"/>
                <c:pt idx="0">
                  <c:v>1110.4000000000001</c:v>
                </c:pt>
                <c:pt idx="1">
                  <c:v>130</c:v>
                </c:pt>
                <c:pt idx="2">
                  <c:v>34</c:v>
                </c:pt>
                <c:pt idx="3">
                  <c:v>9</c:v>
                </c:pt>
                <c:pt idx="4">
                  <c:v>2.7</c:v>
                </c:pt>
                <c:pt idx="5">
                  <c:v>0.9</c:v>
                </c:pt>
                <c:pt idx="6">
                  <c:v>0.43099999999999999</c:v>
                </c:pt>
                <c:pt idx="7">
                  <c:v>0.22</c:v>
                </c:pt>
                <c:pt idx="8">
                  <c:v>0.13100000000000001</c:v>
                </c:pt>
                <c:pt idx="9">
                  <c:v>0.09</c:v>
                </c:pt>
                <c:pt idx="10">
                  <c:v>7.0000000000000007E-2</c:v>
                </c:pt>
                <c:pt idx="11">
                  <c:v>5.7000000000000002E-2</c:v>
                </c:pt>
                <c:pt idx="12">
                  <c:v>0.04</c:v>
                </c:pt>
                <c:pt idx="13">
                  <c:v>5.2999999999999999E-2</c:v>
                </c:pt>
                <c:pt idx="14">
                  <c:v>5.2999999999999999E-2</c:v>
                </c:pt>
                <c:pt idx="15">
                  <c:v>5.2999999999999999E-2</c:v>
                </c:pt>
                <c:pt idx="16">
                  <c:v>5.2999999999999999E-2</c:v>
                </c:pt>
                <c:pt idx="17">
                  <c:v>5.2999999999999999E-2</c:v>
                </c:pt>
                <c:pt idx="18">
                  <c:v>5.2999999999999999E-2</c:v>
                </c:pt>
                <c:pt idx="19">
                  <c:v>5.2999999999999999E-2</c:v>
                </c:pt>
                <c:pt idx="20">
                  <c:v>5.2999999999999999E-2</c:v>
                </c:pt>
                <c:pt idx="21">
                  <c:v>5.2999999999999999E-2</c:v>
                </c:pt>
                <c:pt idx="22">
                  <c:v>5.2999999999999999E-2</c:v>
                </c:pt>
                <c:pt idx="23" formatCode="0.0000000">
                  <c:v>8.7000000000000001E-4</c:v>
                </c:pt>
                <c:pt idx="24" formatCode="0.0000000">
                  <c:v>1.8100000000000001E-4</c:v>
                </c:pt>
                <c:pt idx="25" formatCode="0.0000000">
                  <c:v>1.1000000000000002E-4</c:v>
                </c:pt>
                <c:pt idx="26" formatCode="0.0000000">
                  <c:v>8.1000000000000004E-5</c:v>
                </c:pt>
                <c:pt idx="27" formatCode="0.0000000">
                  <c:v>6.4000000000000011E-5</c:v>
                </c:pt>
                <c:pt idx="28" formatCode="0.0000000">
                  <c:v>5.5999999999999999E-5</c:v>
                </c:pt>
                <c:pt idx="29" formatCode="0.0000000">
                  <c:v>4.9000000000000005E-5</c:v>
                </c:pt>
                <c:pt idx="30" formatCode="0.0000000">
                  <c:v>4.4000000000000006E-5</c:v>
                </c:pt>
                <c:pt idx="31" formatCode="0.0000000">
                  <c:v>4.1E-5</c:v>
                </c:pt>
                <c:pt idx="32" formatCode="0.0000000">
                  <c:v>3.8999999999999999E-5</c:v>
                </c:pt>
                <c:pt idx="33" formatCode="0.0000000">
                  <c:v>3.7000000000000005E-5</c:v>
                </c:pt>
                <c:pt idx="34" formatCode="0.0000000">
                  <c:v>3.5000000000000004E-5</c:v>
                </c:pt>
                <c:pt idx="35" formatCode="0.0000000">
                  <c:v>3.4E-5</c:v>
                </c:pt>
                <c:pt idx="36" formatCode="0.0000000">
                  <c:v>3.3000000000000003E-5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FF-4FC2-BAAC-639C3FAB8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2697992"/>
        <c:axId val="622699528"/>
      </c:lineChart>
      <c:catAx>
        <c:axId val="622697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Elapsed Time - 15 second Intervals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699528"/>
        <c:crosses val="autoZero"/>
        <c:auto val="1"/>
        <c:lblAlgn val="ctr"/>
        <c:lblOffset val="100"/>
        <c:noMultiLvlLbl val="0"/>
      </c:catAx>
      <c:valAx>
        <c:axId val="62269952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Pressure (torr)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697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200025</xdr:rowOff>
    </xdr:from>
    <xdr:to>
      <xdr:col>21</xdr:col>
      <xdr:colOff>571500</xdr:colOff>
      <xdr:row>28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BBBA634-2A2B-8509-A0A6-A08EAB8E8448}"/>
            </a:ext>
            <a:ext uri="{147F2762-F138-4A5C-976F-8EAC2B608ADB}">
              <a16:predDERef xmlns:a16="http://schemas.microsoft.com/office/drawing/2014/main" pred="{22AD8671-5DAE-45FA-8F67-D36486DE0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B822-4DB7-48A0-A100-9936FE3FA5F1}">
  <dimension ref="B1:J40"/>
  <sheetViews>
    <sheetView tabSelected="1" zoomScaleNormal="100" workbookViewId="0"/>
  </sheetViews>
  <sheetFormatPr defaultRowHeight="16.5"/>
  <cols>
    <col min="2" max="2" width="12.42578125" style="1" customWidth="1"/>
    <col min="3" max="3" width="12.7109375" style="1" customWidth="1"/>
    <col min="4" max="4" width="19.5703125" style="7" hidden="1" customWidth="1"/>
    <col min="5" max="5" width="19.85546875" style="1" bestFit="1" customWidth="1"/>
    <col min="6" max="6" width="23" bestFit="1" customWidth="1"/>
    <col min="8" max="8" width="8" customWidth="1"/>
    <col min="9" max="9" width="19.28515625" style="1" customWidth="1"/>
  </cols>
  <sheetData>
    <row r="1" spans="2:7">
      <c r="B1" s="2"/>
      <c r="C1" s="2"/>
      <c r="D1" s="16" t="s">
        <v>0</v>
      </c>
      <c r="E1" s="4" t="s">
        <v>0</v>
      </c>
      <c r="F1" s="8"/>
      <c r="G1" s="8"/>
    </row>
    <row r="2" spans="2:7">
      <c r="B2" s="5" t="s">
        <v>1</v>
      </c>
      <c r="C2" s="3" t="s">
        <v>2</v>
      </c>
      <c r="D2" s="16" t="s">
        <v>3</v>
      </c>
      <c r="E2" s="3" t="s">
        <v>4</v>
      </c>
      <c r="F2" s="8"/>
      <c r="G2" s="8"/>
    </row>
    <row r="3" spans="2:7" ht="30">
      <c r="B3" s="5"/>
      <c r="C3" s="5"/>
      <c r="D3" s="17" t="s">
        <v>5</v>
      </c>
      <c r="E3" s="15" t="s">
        <v>6</v>
      </c>
      <c r="F3" s="8"/>
      <c r="G3" s="8"/>
    </row>
    <row r="4" spans="2:7">
      <c r="B4" s="13">
        <v>0</v>
      </c>
      <c r="C4" s="19">
        <v>0</v>
      </c>
      <c r="D4" s="20"/>
      <c r="E4" s="23">
        <v>1110.4000000000001</v>
      </c>
      <c r="F4" s="21"/>
      <c r="G4" s="21"/>
    </row>
    <row r="5" spans="2:7">
      <c r="B5" s="18">
        <f>(C5*1)/60</f>
        <v>0.25</v>
      </c>
      <c r="C5" s="19">
        <v>15</v>
      </c>
      <c r="D5" s="20"/>
      <c r="E5" s="23">
        <v>130</v>
      </c>
      <c r="F5" s="21"/>
      <c r="G5" s="21"/>
    </row>
    <row r="6" spans="2:7">
      <c r="B6" s="18">
        <f t="shared" ref="B6:B15" si="0">(C6*1)/60</f>
        <v>0.5</v>
      </c>
      <c r="C6" s="19">
        <v>30</v>
      </c>
      <c r="D6" s="20"/>
      <c r="E6" s="23">
        <v>34</v>
      </c>
      <c r="F6" s="21"/>
      <c r="G6" s="21"/>
    </row>
    <row r="7" spans="2:7">
      <c r="B7" s="18">
        <f t="shared" si="0"/>
        <v>0.75</v>
      </c>
      <c r="C7" s="19">
        <v>45</v>
      </c>
      <c r="D7" s="20"/>
      <c r="E7" s="23">
        <v>9</v>
      </c>
      <c r="F7" s="21"/>
      <c r="G7" s="21"/>
    </row>
    <row r="8" spans="2:7">
      <c r="B8" s="18">
        <f t="shared" si="0"/>
        <v>1</v>
      </c>
      <c r="C8" s="19">
        <v>60</v>
      </c>
      <c r="D8" s="20"/>
      <c r="E8" s="23">
        <v>2.7</v>
      </c>
      <c r="F8" s="21"/>
      <c r="G8" s="21"/>
    </row>
    <row r="9" spans="2:7">
      <c r="B9" s="18">
        <f t="shared" si="0"/>
        <v>1.25</v>
      </c>
      <c r="C9" s="19">
        <v>75</v>
      </c>
      <c r="D9" s="20"/>
      <c r="E9" s="23">
        <v>0.9</v>
      </c>
      <c r="F9" s="21"/>
      <c r="G9" s="21"/>
    </row>
    <row r="10" spans="2:7">
      <c r="B10" s="18">
        <f t="shared" si="0"/>
        <v>1.5</v>
      </c>
      <c r="C10" s="19">
        <v>90</v>
      </c>
      <c r="D10" s="20"/>
      <c r="E10" s="23">
        <v>0.43099999999999999</v>
      </c>
      <c r="F10" s="21"/>
      <c r="G10" s="21"/>
    </row>
    <row r="11" spans="2:7">
      <c r="B11" s="18">
        <f t="shared" si="0"/>
        <v>1.75</v>
      </c>
      <c r="C11" s="19">
        <v>105</v>
      </c>
      <c r="D11" s="20"/>
      <c r="E11" s="23">
        <v>0.22</v>
      </c>
      <c r="F11" s="21"/>
      <c r="G11" s="21"/>
    </row>
    <row r="12" spans="2:7">
      <c r="B12" s="18">
        <f t="shared" si="0"/>
        <v>2</v>
      </c>
      <c r="C12" s="19">
        <v>120</v>
      </c>
      <c r="D12" s="20"/>
      <c r="E12" s="23">
        <v>0.13100000000000001</v>
      </c>
      <c r="F12" s="21"/>
      <c r="G12" s="21"/>
    </row>
    <row r="13" spans="2:7">
      <c r="B13" s="18">
        <f t="shared" si="0"/>
        <v>2.25</v>
      </c>
      <c r="C13" s="19">
        <v>135</v>
      </c>
      <c r="D13" s="20"/>
      <c r="E13" s="23">
        <v>0.09</v>
      </c>
      <c r="F13" s="21"/>
      <c r="G13" s="21"/>
    </row>
    <row r="14" spans="2:7">
      <c r="B14" s="18">
        <f t="shared" si="0"/>
        <v>2.5</v>
      </c>
      <c r="C14" s="19">
        <v>150</v>
      </c>
      <c r="D14" s="20"/>
      <c r="E14" s="23">
        <v>7.0000000000000007E-2</v>
      </c>
      <c r="F14" s="21"/>
      <c r="G14" s="21"/>
    </row>
    <row r="15" spans="2:7">
      <c r="B15" s="18">
        <f t="shared" si="0"/>
        <v>2.75</v>
      </c>
      <c r="C15" s="19">
        <v>165</v>
      </c>
      <c r="D15" s="20"/>
      <c r="E15" s="23">
        <v>5.7000000000000002E-2</v>
      </c>
      <c r="F15" s="21"/>
      <c r="G15" s="21"/>
    </row>
    <row r="16" spans="2:7">
      <c r="B16" s="11">
        <v>1</v>
      </c>
      <c r="C16" s="19">
        <v>180</v>
      </c>
      <c r="D16" s="20"/>
      <c r="E16" s="23">
        <v>0.04</v>
      </c>
      <c r="F16" s="21"/>
      <c r="G16" s="21"/>
    </row>
    <row r="17" spans="2:10">
      <c r="B17" s="11">
        <v>1.5</v>
      </c>
      <c r="C17" s="19">
        <v>195</v>
      </c>
      <c r="D17" s="20"/>
      <c r="E17" s="23">
        <v>5.2999999999999999E-2</v>
      </c>
      <c r="F17" s="21" t="s">
        <v>7</v>
      </c>
      <c r="G17" s="21"/>
      <c r="H17" s="21"/>
      <c r="J17" s="21"/>
    </row>
    <row r="18" spans="2:10">
      <c r="B18" s="11">
        <v>2</v>
      </c>
      <c r="C18" s="19">
        <v>210</v>
      </c>
      <c r="D18" s="20"/>
      <c r="E18" s="23">
        <v>5.2999999999999999E-2</v>
      </c>
      <c r="F18" s="21"/>
      <c r="G18" s="21"/>
      <c r="H18" s="21"/>
      <c r="J18" s="21"/>
    </row>
    <row r="19" spans="2:10">
      <c r="B19" s="11">
        <v>2.5</v>
      </c>
      <c r="C19" s="19">
        <v>225</v>
      </c>
      <c r="D19" s="20"/>
      <c r="E19" s="23">
        <v>5.2999999999999999E-2</v>
      </c>
      <c r="F19" s="21"/>
      <c r="G19" s="21"/>
      <c r="H19" s="21"/>
      <c r="J19" s="21"/>
    </row>
    <row r="20" spans="2:10">
      <c r="B20" s="11">
        <v>3</v>
      </c>
      <c r="C20" s="19">
        <v>240</v>
      </c>
      <c r="D20" s="20"/>
      <c r="E20" s="23">
        <v>5.2999999999999999E-2</v>
      </c>
      <c r="F20" s="21"/>
      <c r="G20" s="21"/>
      <c r="H20" s="21"/>
      <c r="J20" s="21"/>
    </row>
    <row r="21" spans="2:10">
      <c r="B21" s="11">
        <v>3.5</v>
      </c>
      <c r="C21" s="19">
        <v>255</v>
      </c>
      <c r="D21" s="20"/>
      <c r="E21" s="23">
        <v>5.2999999999999999E-2</v>
      </c>
      <c r="F21" s="21"/>
      <c r="G21" s="21"/>
      <c r="H21" s="21"/>
      <c r="J21" s="21"/>
    </row>
    <row r="22" spans="2:10">
      <c r="B22" s="11">
        <v>4</v>
      </c>
      <c r="C22" s="19">
        <v>270</v>
      </c>
      <c r="D22" s="20"/>
      <c r="E22" s="23">
        <v>5.2999999999999999E-2</v>
      </c>
      <c r="F22" s="21"/>
      <c r="G22" s="21"/>
      <c r="H22" s="21"/>
      <c r="J22" s="21"/>
    </row>
    <row r="23" spans="2:10">
      <c r="B23" s="11">
        <v>4.5</v>
      </c>
      <c r="C23" s="19">
        <v>285</v>
      </c>
      <c r="D23" s="20"/>
      <c r="E23" s="23">
        <v>5.2999999999999999E-2</v>
      </c>
      <c r="F23" s="21"/>
      <c r="G23" s="21"/>
      <c r="H23" s="21"/>
      <c r="J23" s="21"/>
    </row>
    <row r="24" spans="2:10">
      <c r="B24" s="12">
        <v>5</v>
      </c>
      <c r="C24" s="19">
        <v>300</v>
      </c>
      <c r="D24" s="20"/>
      <c r="E24" s="23">
        <v>5.2999999999999999E-2</v>
      </c>
      <c r="F24" s="21"/>
      <c r="G24" s="21"/>
      <c r="H24" s="21"/>
      <c r="J24" s="21"/>
    </row>
    <row r="25" spans="2:10">
      <c r="B25" s="12">
        <v>6</v>
      </c>
      <c r="C25" s="19">
        <v>315</v>
      </c>
      <c r="D25" s="20"/>
      <c r="E25" s="23">
        <v>5.2999999999999999E-2</v>
      </c>
      <c r="F25" s="21" t="s">
        <v>8</v>
      </c>
      <c r="G25" s="21"/>
      <c r="H25" s="21"/>
      <c r="J25" s="21"/>
    </row>
    <row r="26" spans="2:10">
      <c r="B26" s="12">
        <v>7</v>
      </c>
      <c r="C26" s="19">
        <v>330</v>
      </c>
      <c r="D26" s="20"/>
      <c r="E26" s="24">
        <v>5.2999999999999999E-2</v>
      </c>
      <c r="F26" s="22"/>
      <c r="G26" s="21"/>
      <c r="H26" s="21"/>
      <c r="J26" s="21"/>
    </row>
    <row r="27" spans="2:10">
      <c r="B27" s="12">
        <v>8</v>
      </c>
      <c r="C27" s="19">
        <v>345</v>
      </c>
      <c r="D27" s="20"/>
      <c r="E27" s="25">
        <f>8.7*10^-4</f>
        <v>8.7000000000000001E-4</v>
      </c>
      <c r="F27" s="21"/>
      <c r="G27" s="21"/>
      <c r="H27" s="1"/>
      <c r="J27" s="1"/>
    </row>
    <row r="28" spans="2:10">
      <c r="B28" s="12">
        <v>9</v>
      </c>
      <c r="C28" s="19">
        <v>360</v>
      </c>
      <c r="D28" s="20"/>
      <c r="E28" s="25">
        <f>1.81*10^-4</f>
        <v>1.8100000000000001E-4</v>
      </c>
      <c r="F28" s="21"/>
      <c r="G28" s="21"/>
      <c r="H28" s="1"/>
      <c r="J28" s="6"/>
    </row>
    <row r="29" spans="2:10" ht="17.25">
      <c r="B29" s="14">
        <v>10</v>
      </c>
      <c r="C29" s="19">
        <v>375</v>
      </c>
      <c r="D29" s="20"/>
      <c r="E29" s="25">
        <f>1.1*10^-4</f>
        <v>1.1000000000000002E-4</v>
      </c>
      <c r="F29" s="21"/>
      <c r="G29" s="21"/>
      <c r="H29" s="9"/>
      <c r="I29" s="9"/>
      <c r="J29" s="9"/>
    </row>
    <row r="30" spans="2:10" ht="17.25">
      <c r="B30" s="14">
        <v>11</v>
      </c>
      <c r="C30" s="19">
        <v>390</v>
      </c>
      <c r="D30" s="20"/>
      <c r="E30" s="25">
        <f>8.1*10^-5</f>
        <v>8.1000000000000004E-5</v>
      </c>
      <c r="F30" s="21"/>
      <c r="G30" s="21"/>
      <c r="H30" s="9"/>
      <c r="I30" s="9"/>
      <c r="J30" s="10"/>
    </row>
    <row r="31" spans="2:10">
      <c r="B31" s="14">
        <v>12</v>
      </c>
      <c r="C31" s="19">
        <v>405</v>
      </c>
      <c r="D31" s="20"/>
      <c r="E31" s="25">
        <f>6.4*10^-5</f>
        <v>6.4000000000000011E-5</v>
      </c>
      <c r="F31" s="21"/>
      <c r="G31" s="21"/>
      <c r="H31" s="1"/>
      <c r="J31" s="21"/>
    </row>
    <row r="32" spans="2:10">
      <c r="B32" s="14">
        <v>13</v>
      </c>
      <c r="C32" s="19">
        <v>420</v>
      </c>
      <c r="D32" s="20"/>
      <c r="E32" s="25">
        <f>5.6*10^-5</f>
        <v>5.5999999999999999E-5</v>
      </c>
      <c r="F32" s="21"/>
      <c r="G32" s="21"/>
      <c r="H32" s="1"/>
      <c r="J32" s="21"/>
    </row>
    <row r="33" spans="2:8">
      <c r="B33" s="14">
        <v>14</v>
      </c>
      <c r="C33" s="19">
        <v>435</v>
      </c>
      <c r="D33" s="20"/>
      <c r="E33" s="25">
        <f>4.9*10^-5</f>
        <v>4.9000000000000005E-5</v>
      </c>
      <c r="F33" s="21"/>
      <c r="G33" s="21"/>
      <c r="H33" s="1"/>
    </row>
    <row r="34" spans="2:8">
      <c r="B34" s="14">
        <v>15</v>
      </c>
      <c r="C34" s="19">
        <v>450</v>
      </c>
      <c r="D34" s="20"/>
      <c r="E34" s="25">
        <f>4.4*10^-5</f>
        <v>4.4000000000000006E-5</v>
      </c>
      <c r="F34" s="21" t="s">
        <v>9</v>
      </c>
      <c r="G34" s="21"/>
      <c r="H34" s="1"/>
    </row>
    <row r="35" spans="2:8">
      <c r="B35" s="14">
        <v>16</v>
      </c>
      <c r="C35" s="19">
        <v>465</v>
      </c>
      <c r="E35" s="26">
        <f>4.1*10^-5</f>
        <v>4.1E-5</v>
      </c>
      <c r="F35" s="21"/>
      <c r="G35" s="1"/>
      <c r="H35" s="1"/>
    </row>
    <row r="36" spans="2:8">
      <c r="B36" s="14">
        <v>17</v>
      </c>
      <c r="C36" s="19">
        <v>480</v>
      </c>
      <c r="E36" s="26">
        <f>3.9*10^-5</f>
        <v>3.8999999999999999E-5</v>
      </c>
      <c r="F36" s="21"/>
      <c r="G36" s="1"/>
      <c r="H36" s="1"/>
    </row>
    <row r="37" spans="2:8">
      <c r="B37" s="14">
        <v>18</v>
      </c>
      <c r="C37" s="19">
        <v>495</v>
      </c>
      <c r="E37" s="26">
        <f>3.7*10^-5</f>
        <v>3.7000000000000005E-5</v>
      </c>
      <c r="F37" s="21"/>
      <c r="G37" s="1"/>
      <c r="H37" s="1"/>
    </row>
    <row r="38" spans="2:8">
      <c r="B38" s="14">
        <v>19</v>
      </c>
      <c r="C38" s="19">
        <v>510</v>
      </c>
      <c r="E38" s="26">
        <f>3.5*10^-5</f>
        <v>3.5000000000000004E-5</v>
      </c>
      <c r="F38" s="21"/>
      <c r="G38" s="21"/>
      <c r="H38" s="21"/>
    </row>
    <row r="39" spans="2:8">
      <c r="B39" s="14">
        <v>20</v>
      </c>
      <c r="C39" s="19">
        <v>525</v>
      </c>
      <c r="E39" s="26">
        <f>3.4*10^-5</f>
        <v>3.4E-5</v>
      </c>
      <c r="F39" s="21"/>
      <c r="G39" s="21"/>
      <c r="H39" s="21"/>
    </row>
    <row r="40" spans="2:8">
      <c r="B40" s="14">
        <v>21</v>
      </c>
      <c r="C40" s="19">
        <v>540</v>
      </c>
      <c r="E40" s="26">
        <f>3.3*10^-5</f>
        <v>3.3000000000000003E-5</v>
      </c>
      <c r="F40" s="21"/>
      <c r="G40" s="21"/>
      <c r="H40" s="21"/>
    </row>
  </sheetData>
  <pageMargins left="0.7" right="0.7" top="0.75" bottom="0.75" header="0.3" footer="0.3"/>
  <pageSetup fitToWidth="0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82b3364-0f31-45c5-8bef-0150d4b4fef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C9DE9F9B7F0B4B9505242071429422" ma:contentTypeVersion="16" ma:contentTypeDescription="Create a new document." ma:contentTypeScope="" ma:versionID="aa9ed0d2c3d0d1d50be7697f8eb7d355">
  <xsd:schema xmlns:xsd="http://www.w3.org/2001/XMLSchema" xmlns:xs="http://www.w3.org/2001/XMLSchema" xmlns:p="http://schemas.microsoft.com/office/2006/metadata/properties" xmlns:ns3="c82b3364-0f31-45c5-8bef-0150d4b4fef2" xmlns:ns4="09d943b7-f5fc-4880-b0e2-595fbee4f91d" targetNamespace="http://schemas.microsoft.com/office/2006/metadata/properties" ma:root="true" ma:fieldsID="869b3b36dba8aa533097bc752ef56c06" ns3:_="" ns4:_="">
    <xsd:import namespace="c82b3364-0f31-45c5-8bef-0150d4b4fef2"/>
    <xsd:import namespace="09d943b7-f5fc-4880-b0e2-595fbee4f91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_activity" minOccurs="0"/>
                <xsd:element ref="ns3:MediaServiceSystemTag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b3364-0f31-45c5-8bef-0150d4b4f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943b7-f5fc-4880-b0e2-595fbee4f91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88B972-5633-4CB5-91CE-B4621D79483F}"/>
</file>

<file path=customXml/itemProps2.xml><?xml version="1.0" encoding="utf-8"?>
<ds:datastoreItem xmlns:ds="http://schemas.openxmlformats.org/officeDocument/2006/customXml" ds:itemID="{6A9F32CC-3ACE-4E07-BFB7-89837CFC3F0D}"/>
</file>

<file path=customXml/itemProps3.xml><?xml version="1.0" encoding="utf-8"?>
<ds:datastoreItem xmlns:ds="http://schemas.openxmlformats.org/officeDocument/2006/customXml" ds:itemID="{CF211D4D-6317-4E2A-AFC1-AE09EADFB7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René Olate Alveal</dc:creator>
  <cp:keywords/>
  <dc:description/>
  <cp:lastModifiedBy>Michael Kang</cp:lastModifiedBy>
  <cp:revision/>
  <dcterms:created xsi:type="dcterms:W3CDTF">2024-06-24T17:37:14Z</dcterms:created>
  <dcterms:modified xsi:type="dcterms:W3CDTF">2026-04-15T21:49:05Z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0x010100C8C9DE9F9B7F0B4B9505242071429422</vt:lpwstr>
  </property>
</Properties>
</file>